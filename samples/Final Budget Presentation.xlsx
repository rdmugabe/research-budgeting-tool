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21c9d0d36bb5a5e9/Documents/Phoenix R Alliance/PRA Platform/"/>
    </mc:Choice>
  </mc:AlternateContent>
  <xr:revisionPtr revIDLastSave="1" documentId="8_{58ADD0E0-7BA9-40B0-8E94-CE06CF36CAF8}" xr6:coauthVersionLast="47" xr6:coauthVersionMax="47" xr10:uidLastSave="{FFF6E970-1794-44AF-A38A-8B827BB4C11E}"/>
  <bookViews>
    <workbookView xWindow="-110" yWindow="-110" windowWidth="19420" windowHeight="11500" xr2:uid="{0F88A728-5F19-4BCA-9960-2EBE592C92FA}"/>
  </bookViews>
  <sheets>
    <sheet name="Final Budget Presentation" sheetId="2" r:id="rId1"/>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2" i="2" l="1"/>
  <c r="C27" i="2"/>
  <c r="C26" i="2"/>
  <c r="B27" i="2"/>
  <c r="B26" i="2"/>
</calcChain>
</file>

<file path=xl/sharedStrings.xml><?xml version="1.0" encoding="utf-8"?>
<sst xmlns="http://schemas.openxmlformats.org/spreadsheetml/2006/main" count="158" uniqueCount="120">
  <si>
    <t xml:space="preserve">                                                US - VISIT SCHEDULE 
</t>
  </si>
  <si>
    <t>PAYMENT PER SUBJECT PER VISIT COMPLETED
(INCLUSIVE OF OH)</t>
  </si>
  <si>
    <t>Site's Fees</t>
  </si>
  <si>
    <t>Visit 1A (Screening)*</t>
  </si>
  <si>
    <t>Visit 1B (Screening)*</t>
  </si>
  <si>
    <t>Visit 1 (Screening) – only applicable if performed at 1 visit*</t>
  </si>
  <si>
    <t>Visit 2 (Randomization)</t>
  </si>
  <si>
    <t>Visit 3</t>
  </si>
  <si>
    <t>Visit 4</t>
  </si>
  <si>
    <t>Visit 5</t>
  </si>
  <si>
    <t>Visit 6</t>
  </si>
  <si>
    <t>Visit 7</t>
  </si>
  <si>
    <t>Visit 8</t>
  </si>
  <si>
    <t>Visit 9</t>
  </si>
  <si>
    <t>Visit 10</t>
  </si>
  <si>
    <t>Visit 11</t>
  </si>
  <si>
    <t>Visit 12</t>
  </si>
  <si>
    <t>Visit 13</t>
  </si>
  <si>
    <t>Visit 14</t>
  </si>
  <si>
    <t>Visit 15</t>
  </si>
  <si>
    <t>Visit 16</t>
  </si>
  <si>
    <t>Visit 17</t>
  </si>
  <si>
    <t>Visit 18</t>
  </si>
  <si>
    <t>Visit 19</t>
  </si>
  <si>
    <t>Visit 20</t>
  </si>
  <si>
    <t>Visit 21 (EOT)</t>
  </si>
  <si>
    <t>Visit 22 (EOS Follow Up)</t>
  </si>
  <si>
    <t>Total Cost per Subject Visit 1 A&amp;B</t>
  </si>
  <si>
    <t>Total Cost per Subject Combined Visit 1</t>
  </si>
  <si>
    <t>*Subject will attend one of the screening options: Visit 1A &amp; Visit 1B or Combined Visit 1 in accordance with the Protocol.  Total cost per Subject varies depending on screening visit performed.</t>
  </si>
  <si>
    <t>All fees listed above are inclusive of Institutional overhead, indirect costs, pregnancy tests, contraceptive counseling, optional bio-samples for future analysis, consent for optional bio-samples, dry ice, telephone calls to subjects for reminder of urine specimen collection and calls for confirmation of pregnancy tests, destruction of used pen injectors, technical complaints, and subject stipend reimbursement amount, as applicable.  
Additionally, assessments related to Type Two Diabetic subject: diaries, BG meter dispense/collection are included in the cost per subject visit and should not be accounted elsewhere.</t>
  </si>
  <si>
    <t>Site Fees</t>
  </si>
  <si>
    <t>Unit Cost (Inclusive of Overhead)</t>
  </si>
  <si>
    <t>SITE FEES</t>
  </si>
  <si>
    <t>SPONSOR PROPOSED</t>
  </si>
  <si>
    <t>SITE COUNTEROFFER</t>
  </si>
  <si>
    <t>FREQUENCY</t>
  </si>
  <si>
    <t>Administrative Start Up Fee</t>
  </si>
  <si>
    <t>Non-Refundable Administrative Start-Up Fee</t>
  </si>
  <si>
    <t>One-time- upon execution of CTA</t>
  </si>
  <si>
    <t>Annual during recruitment for Advertising / Recruitment / Chart Review Fee; Up to</t>
  </si>
  <si>
    <t>Annual Advertising / Recruitment / Chart Review Fee</t>
  </si>
  <si>
    <t>Annual
(during active recruitment)</t>
  </si>
  <si>
    <t>Annual Subject Retention; Up to</t>
  </si>
  <si>
    <t>Annual Subject Retention Fee</t>
  </si>
  <si>
    <t>Annual
(per year of study)</t>
  </si>
  <si>
    <t>SAE Reports; per event &amp; and AEs requiring additional data collection (ADJUDICATED EVENTS)</t>
  </si>
  <si>
    <t>Annual Inflation Adjustment (3% per year on all per-visit fees)</t>
  </si>
  <si>
    <t>Not Included</t>
  </si>
  <si>
    <t>3% applied in Year 2 &amp; 3</t>
  </si>
  <si>
    <t>Annual – applied
to all visit fees</t>
  </si>
  <si>
    <t>SAE Reports; per event &amp; and AEs requiring additional data collection (NON-ADJUDICATED EVENTS)</t>
  </si>
  <si>
    <t>SAE Report – Adjudicated Event (per event; EAC-confirmed)</t>
  </si>
  <si>
    <t>Per event</t>
  </si>
  <si>
    <t>Unscheduled Visit (Onsite); Each
Reasonable and medically necessary unscheduled visit</t>
  </si>
  <si>
    <t>SAE Report – Non-Adjudicated Event (per event)</t>
  </si>
  <si>
    <t>Onsite Converted to Phone Visit</t>
  </si>
  <si>
    <t>Unscheduled Visit – Onsite (per visit)</t>
  </si>
  <si>
    <t>Per occurrence</t>
  </si>
  <si>
    <t>Type 2 Diabetes Phone Call - Insulin Titration Adjustment</t>
  </si>
  <si>
    <t>Onsite Visit Converted to Phone/Remote Visit</t>
  </si>
  <si>
    <t xml:space="preserve">Echocardiography, if applicable at Screening per protocol </t>
  </si>
  <si>
    <t>Type 2 Diabetes Phone Call – Insulin Titration Adjustment</t>
  </si>
  <si>
    <t>Per call</t>
  </si>
  <si>
    <t>Eye Examination inclusive of Optical coherence tomography per completed eye exam; Visits 1B or Visit 1, Visit 12, Visit 16, Visit 20 and EOT; only applicable for participants with T2D at screening.</t>
  </si>
  <si>
    <t>Echocardiography at Screening (if no qualifying echo within 12 months)</t>
  </si>
  <si>
    <t>Per subject
(if applicable)</t>
  </si>
  <si>
    <t>Optional Atrial fibrillation burden sub-study</t>
  </si>
  <si>
    <t xml:space="preserve">Costs, as detailed below for optional atrial fibrillation burden sub-study, will be made payable at the rates specified below upon receipt of proper invoice or confirmation in EDC, if applicable, and supporting documentation.  Payments will be subject to review and approval of the appropriate Sponsor Trial Manager.
Visit 2 Atrial fibrillation (ICF, medical history, staff time, training, initial set-up, review and interpretation, 2 week follow up call, Subject Stipend; inclusive of overhead): $1,107.00
Visit 12 Atrial fibrillation (Staff time, training, initial set-up, review and interpretation, 2 week follow up call, Subject Stipend; inclusive of overhead): $859.00
Atrial fibrillation troubleshooting phone call, if applicable: $150.00 </t>
  </si>
  <si>
    <t>Eye Examination with OCT (T2D participants; Visits 1B, 12, 16, 20, EOT)</t>
  </si>
  <si>
    <t>Per exam
(T2D only)</t>
  </si>
  <si>
    <t>Subject Re-Consent Fee</t>
  </si>
  <si>
    <t>Protocol Amendment Fee</t>
  </si>
  <si>
    <t>Up to $2,000
($140/hr)</t>
  </si>
  <si>
    <t>Per amendment</t>
  </si>
  <si>
    <t>Document Storage – On-Site (Years 1–2)</t>
  </si>
  <si>
    <t>Annual
(Years 1-2)</t>
  </si>
  <si>
    <t>Document Storage – Off-Site/Iron Mountain (Year 3+)</t>
  </si>
  <si>
    <t>Annual
(Year 3+, post-study for 15 years)</t>
  </si>
  <si>
    <t>CTMS Monthly Maintenance Fee</t>
  </si>
  <si>
    <t>Monthly
(duration of study)</t>
  </si>
  <si>
    <t>FDA Audit Fee</t>
  </si>
  <si>
    <t>Flat fee
(per audit, up to 2 days)</t>
  </si>
  <si>
    <t>Sponsor Audit Fee</t>
  </si>
  <si>
    <t>Per day on-site</t>
  </si>
  <si>
    <t>Screen Failure Fee (per subject)</t>
  </si>
  <si>
    <t>Per screen failure</t>
  </si>
  <si>
    <t>New Onset Diabetes Management Visit (per event, Sec. 8.3.8)</t>
  </si>
  <si>
    <t>Dose Re-Escalation Phone Contact (per contact, Sec. 6.5)</t>
  </si>
  <si>
    <t>Per contact</t>
  </si>
  <si>
    <t>Urgent/Worsening HF Outpatient Visit Data Collection (per event)</t>
  </si>
  <si>
    <t>Optional AF Burden Sub-Study – Visit 2 (ICF + setup + stipend)</t>
  </si>
  <si>
    <t>Optional AF Burden Sub-Study – Visit 12 (device return/re-init + stipend)</t>
  </si>
  <si>
    <t>AF Sub-Study Troubleshooting Phone Call</t>
  </si>
  <si>
    <t>Per call
(if applicable)</t>
  </si>
  <si>
    <t>PASS-THROUGH COSTS (Direct Reimbursement – Not Subject to Overhead)</t>
  </si>
  <si>
    <t>SITE PASS-THROUGH AMOUNT</t>
  </si>
  <si>
    <t>Biohazard Waste Disposal Fee (Quarterly)</t>
  </si>
  <si>
    <t>Annual
(per active study year)</t>
  </si>
  <si>
    <t>Note: Site Mandatory Fees</t>
  </si>
  <si>
    <t>Research Pharmacy Annual Maintenance Fee</t>
  </si>
  <si>
    <t>Quarterly Administrative Fees</t>
  </si>
  <si>
    <t>Imaging Dept. Annual Maintenance Fee</t>
  </si>
  <si>
    <t>Annual (per active study year)</t>
  </si>
  <si>
    <t>Monitor (CRA) and/or CRO change fee</t>
  </si>
  <si>
    <t>Per change</t>
  </si>
  <si>
    <t>Laboratory Annual Maintenance Fee</t>
  </si>
  <si>
    <t>Site Close out visit Fee</t>
  </si>
  <si>
    <t>Once at Close out</t>
  </si>
  <si>
    <t xml:space="preserve">Equipment Calibration &amp; Preventative Maintenance Fee </t>
  </si>
  <si>
    <t>Equipment Depreciation Fee</t>
  </si>
  <si>
    <t>Equipment Service Agreement Fee</t>
  </si>
  <si>
    <t>Patient transportation Fee, Meals, Hotel accomodations, as needed per visit</t>
  </si>
  <si>
    <t>Invoiced at cost</t>
  </si>
  <si>
    <t>Pass Through</t>
  </si>
  <si>
    <t>Sponsor Early Termination of Study</t>
  </si>
  <si>
    <t>Once at Termination</t>
  </si>
  <si>
    <t>TOTAL PASS-THROUGH (per active study year)</t>
  </si>
  <si>
    <t>N/A</t>
  </si>
  <si>
    <t>Annual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</si>
</sst>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164" formatCode="&quot;$&quot;#,##0.00"/>
    <numFmt numFmtId="165" formatCode="\$#,##0.00"/>
  </numFmts>
  <fonts count="27">
    <font>
      <sz val="10"/>
      <color theme="1"/>
      <name val="Apis For Office"/>
      <family val="2"/>
      <scheme val="minor"/>
    </font>
    <font>
      <b/>
      <sz val="10"/>
      <color theme="1"/>
      <name val="Apis For Office"/>
      <family val="2"/>
      <scheme val="minor"/>
    </font>
    <font>
      <b/>
      <sz val="10"/>
      <color theme="1"/>
      <name val="Verdana"/>
      <family val="2"/>
    </font>
    <font>
      <sz val="10"/>
      <color theme="1"/>
      <name val="Verdana"/>
      <family val="2"/>
    </font>
    <font>
      <b/>
      <sz val="10"/>
      <color rgb="FF000000"/>
      <name val="Apis For Office"/>
      <family val="2"/>
      <scheme val="minor"/>
    </font>
    <font>
      <b/>
      <sz val="14"/>
      <name val="Apis For Office"/>
      <family val="2"/>
      <scheme val="minor"/>
    </font>
    <font>
      <b/>
      <sz val="10"/>
      <color rgb="FF0000CC"/>
      <name val="Arial"/>
      <charset val="1"/>
    </font>
    <font>
      <b/>
      <sz val="11"/>
      <color rgb="FFFFFFFF"/>
      <name val="Arial"/>
      <family val="2"/>
    </font>
    <font>
      <b/>
      <sz val="9"/>
      <color rgb="FFFFFFFF"/>
      <name val="Arial"/>
      <family val="2"/>
    </font>
    <font>
      <sz val="9"/>
      <color rgb="FF000000"/>
      <name val="Arial"/>
      <family val="2"/>
    </font>
    <font>
      <sz val="9"/>
      <color rgb="FFCC0000"/>
      <name val="Arial"/>
      <family val="2"/>
    </font>
    <font>
      <b/>
      <sz val="10"/>
      <color rgb="FF0000CC"/>
      <name val="Arial"/>
      <family val="2"/>
    </font>
    <font>
      <b/>
      <sz val="9"/>
      <color rgb="FFFF0000"/>
      <name val="Arial"/>
      <family val="2"/>
    </font>
    <font>
      <b/>
      <sz val="9"/>
      <color rgb="FF006600"/>
      <name val="Arial"/>
      <family val="2"/>
    </font>
    <font>
      <i/>
      <sz val="9"/>
      <color rgb="FFCC0000"/>
      <name val="Arial"/>
      <family val="2"/>
    </font>
    <font>
      <sz val="10"/>
      <color theme="1"/>
      <name val="Calibri"/>
      <family val="2"/>
      <charset val="1"/>
    </font>
    <font>
      <b/>
      <sz val="10"/>
      <color rgb="FFFFFFFF"/>
      <name val="Arial"/>
      <family val="2"/>
    </font>
    <font>
      <b/>
      <sz val="9"/>
      <color rgb="FF000000"/>
      <name val="Arial"/>
      <family val="2"/>
    </font>
    <font>
      <b/>
      <sz val="10"/>
      <color rgb="FF1A7A4A"/>
      <name val="Arial"/>
      <family val="2"/>
    </font>
    <font>
      <b/>
      <sz val="9"/>
      <color rgb="FF000000"/>
      <name val="Arial"/>
      <family val="2"/>
      <charset val="1"/>
    </font>
    <font>
      <i/>
      <sz val="9"/>
      <color rgb="FFCC0000"/>
      <name val="Arial"/>
      <family val="2"/>
      <charset val="1"/>
    </font>
    <font>
      <sz val="9"/>
      <color rgb="FF000000"/>
      <name val="Arial"/>
      <family val="2"/>
      <charset val="1"/>
    </font>
    <font>
      <b/>
      <sz val="10"/>
      <color rgb="FF00B050"/>
      <name val="Arial"/>
      <family val="2"/>
    </font>
    <font>
      <b/>
      <sz val="10"/>
      <color rgb="FF000000"/>
      <name val="Arial"/>
      <family val="2"/>
    </font>
    <font>
      <b/>
      <sz val="9"/>
      <name val="Arial"/>
      <family val="2"/>
    </font>
    <font>
      <sz val="10"/>
      <color rgb="FFFF0000"/>
      <name val="Apis For Office"/>
      <family val="2"/>
      <scheme val="minor"/>
    </font>
    <font>
      <b/>
      <sz val="10"/>
      <color theme="5"/>
      <name val="Arial"/>
      <family val="2"/>
    </font>
  </fonts>
  <fills count="17">
    <fill>
      <patternFill patternType="none"/>
    </fill>
    <fill>
      <patternFill patternType="gray125"/>
    </fill>
    <fill>
      <patternFill patternType="solid">
        <fgColor theme="0" tint="-0.14999847407452621"/>
        <bgColor theme="0" tint="-0.14999847407452621"/>
      </patternFill>
    </fill>
    <fill>
      <patternFill patternType="solid">
        <fgColor rgb="FFD8F4F3"/>
        <bgColor indexed="64"/>
      </patternFill>
    </fill>
    <fill>
      <patternFill patternType="solid">
        <fgColor rgb="FFD8F4F3"/>
        <bgColor theme="0" tint="-0.14999847407452621"/>
      </patternFill>
    </fill>
    <fill>
      <patternFill patternType="solid">
        <fgColor rgb="FFE8FCE0"/>
        <bgColor indexed="64"/>
      </patternFill>
    </fill>
    <fill>
      <patternFill patternType="solid">
        <fgColor rgb="FFFFFF00"/>
        <bgColor indexed="64"/>
      </patternFill>
    </fill>
    <fill>
      <patternFill patternType="solid">
        <fgColor rgb="FFFFFFFF"/>
        <bgColor rgb="FFF5F5F5"/>
      </patternFill>
    </fill>
    <fill>
      <patternFill patternType="solid">
        <fgColor rgb="FFD5E8F0"/>
        <bgColor rgb="FFE8F5ED"/>
      </patternFill>
    </fill>
    <fill>
      <patternFill patternType="solid">
        <fgColor rgb="FF2E4B8F"/>
        <bgColor rgb="FF1A3A6B"/>
      </patternFill>
    </fill>
    <fill>
      <patternFill patternType="solid">
        <fgColor rgb="FFFFFF00"/>
        <bgColor rgb="FFF5F5F5"/>
      </patternFill>
    </fill>
    <fill>
      <patternFill patternType="solid">
        <fgColor rgb="FFE8F5ED"/>
        <bgColor rgb="FFF5F5F5"/>
      </patternFill>
    </fill>
    <fill>
      <patternFill patternType="solid">
        <fgColor theme="0"/>
        <bgColor rgb="FFF5F5F5"/>
      </patternFill>
    </fill>
    <fill>
      <patternFill patternType="solid">
        <fgColor rgb="FF1A7A4A"/>
        <bgColor rgb="FF008080"/>
      </patternFill>
    </fill>
    <fill>
      <patternFill patternType="solid">
        <fgColor theme="2"/>
        <bgColor rgb="FFF5F5F5"/>
      </patternFill>
    </fill>
    <fill>
      <patternFill patternType="solid">
        <fgColor rgb="FFE8FCE0"/>
        <bgColor rgb="FFF5F5F5"/>
      </patternFill>
    </fill>
    <fill>
      <patternFill patternType="solid">
        <fgColor rgb="FFFFFF00"/>
        <bgColor rgb="FF2E4B8F"/>
      </patternFill>
    </fill>
  </fills>
  <borders count="18">
    <border>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rgb="FF000000"/>
      </right>
      <top/>
      <bottom style="medium">
        <color rgb="FF000000"/>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diagonal/>
    </border>
    <border>
      <left style="thin">
        <color rgb="FFCCCCCC"/>
      </left>
      <right style="thin">
        <color rgb="FFCCCCCC"/>
      </right>
      <top style="thin">
        <color rgb="FFCCCCCC"/>
      </top>
      <bottom style="thin">
        <color rgb="FFCCCCCC"/>
      </bottom>
      <diagonal/>
    </border>
    <border>
      <left style="medium">
        <color indexed="64"/>
      </left>
      <right/>
      <top/>
      <bottom style="medium">
        <color rgb="FF000000"/>
      </bottom>
      <diagonal/>
    </border>
    <border>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1">
    <xf numFmtId="0" fontId="0" fillId="0" borderId="0"/>
  </cellStyleXfs>
  <cellXfs count="77">
    <xf numFmtId="0" fontId="0" fillId="0" borderId="0" xfId="0"/>
    <xf numFmtId="0" fontId="1" fillId="0" borderId="0" xfId="0" applyFont="1" applyAlignment="1">
      <alignment horizontal="center" vertical="center" wrapText="1"/>
    </xf>
    <xf numFmtId="0" fontId="3" fillId="0" borderId="0" xfId="0" applyFont="1"/>
    <xf numFmtId="0" fontId="2" fillId="0" borderId="0" xfId="0" applyFont="1"/>
    <xf numFmtId="0" fontId="0" fillId="0" borderId="3" xfId="0" applyBorder="1" applyAlignment="1">
      <alignment horizontal="center" vertical="center" wrapText="1"/>
    </xf>
    <xf numFmtId="0" fontId="0" fillId="2" borderId="3" xfId="0" applyFill="1" applyBorder="1" applyAlignment="1">
      <alignment horizontal="center" vertical="center" wrapText="1"/>
    </xf>
    <xf numFmtId="0" fontId="0" fillId="0" borderId="1" xfId="0" applyBorder="1" applyAlignment="1">
      <alignment horizontal="left" vertical="center" wrapText="1"/>
    </xf>
    <xf numFmtId="164" fontId="0" fillId="0" borderId="2" xfId="0" applyNumberFormat="1" applyBorder="1" applyAlignment="1">
      <alignment horizontal="center" vertical="center"/>
    </xf>
    <xf numFmtId="0" fontId="0" fillId="0" borderId="4" xfId="0" applyBorder="1" applyAlignment="1">
      <alignment horizontal="left" wrapText="1"/>
    </xf>
    <xf numFmtId="164" fontId="0" fillId="0" borderId="5" xfId="0" applyNumberFormat="1" applyBorder="1" applyAlignment="1">
      <alignment horizontal="center" vertical="center"/>
    </xf>
    <xf numFmtId="0" fontId="0" fillId="0" borderId="4" xfId="0" applyBorder="1" applyAlignment="1">
      <alignment horizontal="left"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xf>
    <xf numFmtId="0" fontId="1" fillId="4" borderId="8"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0" fillId="0" borderId="4" xfId="0" applyBorder="1" applyAlignment="1">
      <alignment horizontal="center" wrapText="1"/>
    </xf>
    <xf numFmtId="164" fontId="0" fillId="0" borderId="5" xfId="0" applyNumberFormat="1" applyBorder="1" applyAlignment="1">
      <alignment horizontal="center"/>
    </xf>
    <xf numFmtId="164" fontId="0" fillId="0" borderId="5" xfId="0" applyNumberFormat="1" applyBorder="1" applyAlignment="1">
      <alignment horizontal="center" wrapText="1"/>
    </xf>
    <xf numFmtId="0" fontId="0" fillId="0" borderId="4" xfId="0" applyBorder="1" applyAlignment="1">
      <alignment horizontal="left" vertical="top" wrapText="1"/>
    </xf>
    <xf numFmtId="0" fontId="1" fillId="0" borderId="3" xfId="0" applyFont="1" applyBorder="1" applyAlignment="1">
      <alignment horizontal="center" vertical="center" wrapText="1"/>
    </xf>
    <xf numFmtId="0" fontId="1" fillId="2" borderId="3" xfId="0" applyFont="1" applyFill="1" applyBorder="1" applyAlignment="1">
      <alignment horizontal="center" vertical="center" wrapText="1"/>
    </xf>
    <xf numFmtId="165" fontId="6" fillId="7" borderId="12" xfId="0" applyNumberFormat="1" applyFont="1" applyFill="1" applyBorder="1" applyAlignment="1">
      <alignment horizontal="center" vertical="center"/>
    </xf>
    <xf numFmtId="0" fontId="1" fillId="4" borderId="13" xfId="0" applyFont="1" applyFill="1" applyBorder="1" applyAlignment="1">
      <alignment horizontal="center" vertical="center" wrapText="1"/>
    </xf>
    <xf numFmtId="164" fontId="1" fillId="0" borderId="13" xfId="0" applyNumberFormat="1" applyFont="1" applyBorder="1" applyAlignment="1">
      <alignment horizontal="center" vertical="center" wrapText="1"/>
    </xf>
    <xf numFmtId="164" fontId="1" fillId="2" borderId="13" xfId="0" applyNumberFormat="1" applyFont="1" applyFill="1" applyBorder="1" applyAlignment="1">
      <alignment horizontal="center" vertical="center" wrapText="1"/>
    </xf>
    <xf numFmtId="164" fontId="0" fillId="2" borderId="13" xfId="0" applyNumberFormat="1" applyFill="1" applyBorder="1" applyAlignment="1">
      <alignment horizontal="center" vertical="center" wrapText="1"/>
    </xf>
    <xf numFmtId="164" fontId="0" fillId="0" borderId="13" xfId="0" applyNumberFormat="1" applyBorder="1" applyAlignment="1">
      <alignment horizontal="center" vertical="center" wrapText="1"/>
    </xf>
    <xf numFmtId="8" fontId="4" fillId="4" borderId="14" xfId="0" applyNumberFormat="1" applyFont="1" applyFill="1" applyBorder="1" applyAlignment="1">
      <alignment horizontal="center" vertical="center" wrapText="1"/>
    </xf>
    <xf numFmtId="0" fontId="2" fillId="6" borderId="15" xfId="0" applyFont="1" applyFill="1" applyBorder="1" applyAlignment="1">
      <alignment horizontal="center" vertical="center"/>
    </xf>
    <xf numFmtId="165" fontId="6" fillId="8" borderId="16" xfId="0" applyNumberFormat="1" applyFont="1" applyFill="1" applyBorder="1" applyAlignment="1">
      <alignment horizontal="center" vertical="center"/>
    </xf>
    <xf numFmtId="165" fontId="6" fillId="7" borderId="16" xfId="0" applyNumberFormat="1" applyFont="1" applyFill="1" applyBorder="1" applyAlignment="1">
      <alignment horizontal="center" vertical="center"/>
    </xf>
    <xf numFmtId="0" fontId="7" fillId="9" borderId="12" xfId="0" applyFont="1" applyFill="1" applyBorder="1" applyAlignment="1">
      <alignment horizontal="left" vertical="center"/>
    </xf>
    <xf numFmtId="0" fontId="8" fillId="9" borderId="12" xfId="0" applyFont="1" applyFill="1" applyBorder="1" applyAlignment="1">
      <alignment horizontal="center" vertical="center"/>
    </xf>
    <xf numFmtId="0" fontId="9" fillId="7" borderId="12" xfId="0" applyFont="1" applyFill="1" applyBorder="1" applyAlignment="1">
      <alignment horizontal="left" vertical="center" wrapText="1"/>
    </xf>
    <xf numFmtId="165" fontId="10" fillId="7" borderId="12" xfId="0" applyNumberFormat="1" applyFont="1" applyFill="1" applyBorder="1" applyAlignment="1">
      <alignment horizontal="center" vertical="center"/>
    </xf>
    <xf numFmtId="165" fontId="11" fillId="7" borderId="12" xfId="0" applyNumberFormat="1" applyFont="1" applyFill="1" applyBorder="1" applyAlignment="1">
      <alignment horizontal="center" vertical="center"/>
    </xf>
    <xf numFmtId="0" fontId="12" fillId="10" borderId="12" xfId="0" applyFont="1" applyFill="1" applyBorder="1" applyAlignment="1">
      <alignment horizontal="center" vertical="center" wrapText="1"/>
    </xf>
    <xf numFmtId="0" fontId="9" fillId="7" borderId="12" xfId="0" applyFont="1" applyFill="1" applyBorder="1" applyAlignment="1">
      <alignment horizontal="center" vertical="center" wrapText="1"/>
    </xf>
    <xf numFmtId="0" fontId="14" fillId="11" borderId="12" xfId="0" applyFont="1" applyFill="1" applyBorder="1" applyAlignment="1">
      <alignment horizontal="center" vertical="center"/>
    </xf>
    <xf numFmtId="0" fontId="13" fillId="11" borderId="12" xfId="0" applyFont="1" applyFill="1" applyBorder="1" applyAlignment="1">
      <alignment horizontal="center" vertical="center"/>
    </xf>
    <xf numFmtId="0" fontId="9" fillId="11" borderId="12" xfId="0" applyFont="1" applyFill="1" applyBorder="1" applyAlignment="1">
      <alignment horizontal="center" vertical="center" wrapText="1"/>
    </xf>
    <xf numFmtId="0" fontId="9" fillId="12" borderId="12" xfId="0" applyFont="1" applyFill="1" applyBorder="1" applyAlignment="1">
      <alignment horizontal="left" vertical="center" wrapText="1"/>
    </xf>
    <xf numFmtId="165" fontId="10" fillId="12" borderId="12" xfId="0" applyNumberFormat="1" applyFont="1" applyFill="1" applyBorder="1" applyAlignment="1">
      <alignment horizontal="center" vertical="center"/>
    </xf>
    <xf numFmtId="165" fontId="11" fillId="12" borderId="12" xfId="0" applyNumberFormat="1" applyFont="1" applyFill="1" applyBorder="1" applyAlignment="1">
      <alignment horizontal="center" vertical="center"/>
    </xf>
    <xf numFmtId="0" fontId="9" fillId="12" borderId="12" xfId="0" applyFont="1" applyFill="1" applyBorder="1" applyAlignment="1">
      <alignment horizontal="center" vertical="center" wrapText="1"/>
    </xf>
    <xf numFmtId="0" fontId="14" fillId="0" borderId="12" xfId="0" applyFont="1" applyBorder="1" applyAlignment="1">
      <alignment horizontal="center" vertical="center"/>
    </xf>
    <xf numFmtId="165" fontId="11" fillId="0" borderId="12" xfId="0" applyNumberFormat="1" applyFont="1" applyBorder="1" applyAlignment="1">
      <alignment horizontal="center" vertical="center"/>
    </xf>
    <xf numFmtId="0" fontId="9" fillId="0" borderId="12" xfId="0" applyFont="1" applyBorder="1" applyAlignment="1">
      <alignment horizontal="center" vertical="center" wrapText="1"/>
    </xf>
    <xf numFmtId="0" fontId="14" fillId="12" borderId="12" xfId="0" applyFont="1" applyFill="1" applyBorder="1" applyAlignment="1">
      <alignment horizontal="center" vertical="center"/>
    </xf>
    <xf numFmtId="0" fontId="11" fillId="12" borderId="12" xfId="0" applyFont="1" applyFill="1" applyBorder="1" applyAlignment="1">
      <alignment horizontal="center" vertical="center" wrapText="1"/>
    </xf>
    <xf numFmtId="0" fontId="15" fillId="0" borderId="0" xfId="0" applyFont="1"/>
    <xf numFmtId="0" fontId="8" fillId="13" borderId="12" xfId="0" applyFont="1" applyFill="1" applyBorder="1" applyAlignment="1">
      <alignment horizontal="center" vertical="center"/>
    </xf>
    <xf numFmtId="0" fontId="16" fillId="13" borderId="12" xfId="0" applyFont="1" applyFill="1" applyBorder="1" applyAlignment="1">
      <alignment horizontal="center" vertical="center"/>
    </xf>
    <xf numFmtId="165" fontId="18" fillId="12" borderId="12" xfId="0" applyNumberFormat="1" applyFont="1" applyFill="1" applyBorder="1" applyAlignment="1">
      <alignment horizontal="center" vertical="center"/>
    </xf>
    <xf numFmtId="0" fontId="20" fillId="12" borderId="12" xfId="0" applyFont="1" applyFill="1" applyBorder="1" applyAlignment="1">
      <alignment horizontal="center" vertical="center"/>
    </xf>
    <xf numFmtId="0" fontId="21" fillId="12" borderId="12" xfId="0" applyFont="1" applyFill="1" applyBorder="1" applyAlignment="1">
      <alignment horizontal="center" vertical="center" wrapText="1"/>
    </xf>
    <xf numFmtId="165" fontId="22" fillId="12" borderId="12" xfId="0" applyNumberFormat="1" applyFont="1" applyFill="1" applyBorder="1" applyAlignment="1">
      <alignment horizontal="center" vertical="center"/>
    </xf>
    <xf numFmtId="0" fontId="9" fillId="12" borderId="12" xfId="0" applyFont="1" applyFill="1" applyBorder="1" applyAlignment="1">
      <alignment horizontal="center" vertical="center"/>
    </xf>
    <xf numFmtId="0" fontId="9" fillId="14" borderId="12" xfId="0" applyFont="1" applyFill="1" applyBorder="1" applyAlignment="1">
      <alignment horizontal="left" vertical="center" wrapText="1"/>
    </xf>
    <xf numFmtId="0" fontId="9" fillId="5" borderId="12" xfId="0" applyFont="1" applyFill="1" applyBorder="1" applyAlignment="1">
      <alignment horizontal="left" vertical="center" wrapText="1"/>
    </xf>
    <xf numFmtId="0" fontId="9" fillId="15" borderId="12" xfId="0" applyFont="1" applyFill="1" applyBorder="1" applyAlignment="1">
      <alignment horizontal="left" vertical="center" wrapText="1"/>
    </xf>
    <xf numFmtId="0" fontId="17" fillId="15" borderId="12" xfId="0" applyFont="1" applyFill="1" applyBorder="1" applyAlignment="1">
      <alignment horizontal="left" vertical="center" wrapText="1"/>
    </xf>
    <xf numFmtId="0" fontId="19" fillId="15" borderId="12" xfId="0" applyFont="1" applyFill="1" applyBorder="1" applyAlignment="1">
      <alignment horizontal="left" vertical="center" wrapText="1"/>
    </xf>
    <xf numFmtId="0" fontId="23" fillId="15" borderId="12" xfId="0" applyFont="1" applyFill="1" applyBorder="1" applyAlignment="1">
      <alignment horizontal="left" vertical="center" wrapText="1"/>
    </xf>
    <xf numFmtId="0" fontId="24" fillId="16" borderId="12" xfId="0" applyFont="1" applyFill="1" applyBorder="1" applyAlignment="1">
      <alignment horizontal="center" vertical="center"/>
    </xf>
    <xf numFmtId="0" fontId="16" fillId="13" borderId="12" xfId="0" applyFont="1" applyFill="1" applyBorder="1" applyAlignment="1">
      <alignment horizontal="left" vertical="center" wrapText="1"/>
    </xf>
    <xf numFmtId="0" fontId="25" fillId="0" borderId="0" xfId="0" applyFont="1" applyAlignment="1">
      <alignment wrapText="1"/>
    </xf>
    <xf numFmtId="0" fontId="9" fillId="0" borderId="12" xfId="0" applyFont="1" applyBorder="1" applyAlignment="1">
      <alignment horizontal="left" vertical="center" wrapText="1"/>
    </xf>
    <xf numFmtId="0" fontId="0" fillId="5" borderId="0" xfId="0" applyFill="1" applyAlignment="1">
      <alignment horizontal="center" vertical="center"/>
    </xf>
    <xf numFmtId="8" fontId="26" fillId="0" borderId="16" xfId="0" applyNumberFormat="1" applyFont="1" applyBorder="1"/>
    <xf numFmtId="8" fontId="26" fillId="0" borderId="17" xfId="0" applyNumberFormat="1" applyFont="1" applyBorder="1"/>
    <xf numFmtId="0" fontId="13" fillId="15" borderId="12" xfId="0" applyFont="1" applyFill="1" applyBorder="1" applyAlignment="1">
      <alignment horizontal="left" vertical="center" wrapText="1"/>
    </xf>
    <xf numFmtId="165" fontId="10" fillId="0" borderId="12" xfId="0" applyNumberFormat="1" applyFont="1" applyBorder="1" applyAlignment="1">
      <alignment horizontal="center" vertical="center"/>
    </xf>
    <xf numFmtId="165" fontId="11" fillId="15" borderId="12" xfId="0" applyNumberFormat="1" applyFont="1" applyFill="1" applyBorder="1" applyAlignment="1">
      <alignment horizontal="center" vertical="center"/>
    </xf>
    <xf numFmtId="0" fontId="1" fillId="5" borderId="10" xfId="0" applyFont="1" applyFill="1" applyBorder="1" applyAlignment="1">
      <alignment horizontal="center" vertical="center" wrapText="1"/>
    </xf>
    <xf numFmtId="0" fontId="1" fillId="5" borderId="9" xfId="0" applyFont="1" applyFill="1" applyBorder="1" applyAlignment="1">
      <alignment horizontal="center" vertical="center" wrapText="1"/>
    </xf>
    <xf numFmtId="0" fontId="1" fillId="0" borderId="11" xfId="0" applyFont="1" applyBorder="1" applyAlignment="1">
      <alignment horizontal="left" wrapText="1"/>
    </xf>
  </cellXfs>
  <cellStyles count="1">
    <cellStyle name="Normal" xfId="0" builtinId="0" customBuiltin="1"/>
  </cellStyles>
  <dxfs count="7">
    <dxf>
      <font>
        <b val="0"/>
        <i val="0"/>
        <strike val="0"/>
        <condense val="0"/>
        <extend val="0"/>
        <outline val="0"/>
        <shadow val="0"/>
        <u val="none"/>
        <vertAlign val="baseline"/>
        <sz val="10"/>
        <color theme="1"/>
        <name val="Apis For Office"/>
        <family val="2"/>
        <scheme val="minor"/>
      </font>
      <numFmt numFmtId="164" formatCode="&quot;$&quot;#,##0.00"/>
      <fill>
        <patternFill patternType="none">
          <fgColor indexed="64"/>
          <bgColor auto="1"/>
        </patternFill>
      </fill>
      <alignment horizontal="center" vertical="bottom" textRotation="0" wrapText="0"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Apis For Office"/>
        <family val="2"/>
        <scheme val="minor"/>
      </font>
      <fill>
        <patternFill patternType="none">
          <fgColor indexed="64"/>
          <bgColor auto="1"/>
        </patternFill>
      </fill>
      <alignment horizontal="center" vertical="bottom" textRotation="0" wrapText="1"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sz val="10"/>
        <name val="Apis For Office"/>
        <family val="2"/>
        <scheme val="minor"/>
      </font>
      <fill>
        <patternFill patternType="none">
          <fgColor indexed="64"/>
          <bgColor auto="1"/>
        </patternFill>
      </fill>
    </dxf>
    <dxf>
      <border>
        <bottom style="medium">
          <color indexed="64"/>
        </bottom>
      </border>
    </dxf>
    <dxf>
      <font>
        <strike val="0"/>
        <outline val="0"/>
        <shadow val="0"/>
        <u val="none"/>
        <vertAlign val="baseline"/>
        <sz val="10"/>
        <name val="Apis For Office"/>
        <family val="2"/>
        <scheme val="minor"/>
      </font>
      <fill>
        <patternFill patternType="none">
          <fgColor indexed="64"/>
          <bgColor auto="1"/>
        </patternFill>
      </fill>
      <alignment horizontal="center" vertical="center" textRotation="0" indent="0" justifyLastLine="0" shrinkToFit="0" readingOrder="0"/>
      <border diagonalUp="0" diagonalDown="0">
        <left style="thin">
          <color indexed="64"/>
        </left>
        <right style="thin">
          <color indexed="64"/>
        </right>
        <top/>
        <bottom/>
        <vertical style="thin">
          <color indexed="64"/>
        </vertical>
        <horizontal/>
      </border>
    </dxf>
  </dxfs>
  <tableStyles count="0" defaultTableStyle="TableStyleMedium2" defaultPivotStyle="PivotStyleLight16"/>
  <colors>
    <mruColors>
      <color rgb="FFE8FCE0"/>
      <color rgb="FFD8F4F3"/>
      <color rgb="FFEED7F9"/>
      <color rgb="FFECCEFE"/>
      <color rgb="FFC3F8AE"/>
      <color rgb="FFFFEAA7"/>
      <color rgb="FFDD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EE88B9D-A5F8-4D49-BA77-FBE50352140A}" name="Table24" displayName="Table24" ref="A32:B45" totalsRowShown="0" headerRowDxfId="6" dataDxfId="4" headerRowBorderDxfId="5" tableBorderDxfId="3" totalsRowBorderDxfId="2">
  <tableColumns count="2">
    <tableColumn id="1" xr3:uid="{F46C31F2-BF37-4C69-BD0D-32D48E22B507}" name="Site Fees" dataDxfId="1"/>
    <tableColumn id="2" xr3:uid="{FDA2B3D8-121A-413D-81E4-979681A2E256}" name="Unit Cost (Inclusive of Overhead)"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Novo Nordisk 2020">
      <a:dk1>
        <a:sysClr val="windowText" lastClr="000000"/>
      </a:dk1>
      <a:lt1>
        <a:srgbClr val="FFFFFF"/>
      </a:lt1>
      <a:dk2>
        <a:srgbClr val="001965"/>
      </a:dk2>
      <a:lt2>
        <a:srgbClr val="CCC5BD"/>
      </a:lt2>
      <a:accent1>
        <a:srgbClr val="001965"/>
      </a:accent1>
      <a:accent2>
        <a:srgbClr val="005AD2"/>
      </a:accent2>
      <a:accent3>
        <a:srgbClr val="3B97DE"/>
      </a:accent3>
      <a:accent4>
        <a:srgbClr val="EEA7BF"/>
      </a:accent4>
      <a:accent5>
        <a:srgbClr val="2A918B"/>
      </a:accent5>
      <a:accent6>
        <a:srgbClr val="939AA7"/>
      </a:accent6>
      <a:hlink>
        <a:srgbClr val="005AD2"/>
      </a:hlink>
      <a:folHlink>
        <a:srgbClr val="3B97DE"/>
      </a:folHlink>
    </a:clrScheme>
    <a:fontScheme name="Novo Nordisk 2020">
      <a:majorFont>
        <a:latin typeface="Apis For Office"/>
        <a:ea typeface=""/>
        <a:cs typeface=""/>
      </a:majorFont>
      <a:minorFont>
        <a:latin typeface="Apis For Office"/>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EA2D5-7298-4DF9-B4C0-A49F0B641AC3}">
  <sheetPr>
    <tabColor rgb="FFD8F4F3"/>
  </sheetPr>
  <dimension ref="A1:G72"/>
  <sheetViews>
    <sheetView tabSelected="1" topLeftCell="A36" zoomScaleNormal="100" workbookViewId="0">
      <selection activeCell="A4" sqref="A4"/>
    </sheetView>
  </sheetViews>
  <sheetFormatPr defaultColWidth="8.54296875" defaultRowHeight="13.5"/>
  <cols>
    <col min="1" max="1" width="35" customWidth="1"/>
    <col min="2" max="2" width="41" customWidth="1"/>
    <col min="3" max="3" width="13.453125" style="2" customWidth="1"/>
    <col min="4" max="4" width="50.81640625" style="2" customWidth="1"/>
    <col min="5" max="5" width="18.1796875" style="2" bestFit="1" customWidth="1"/>
    <col min="6" max="6" width="29" style="2" bestFit="1" customWidth="1"/>
    <col min="7" max="7" width="11.26953125" style="2" customWidth="1"/>
    <col min="8" max="16384" width="8.54296875" style="2"/>
  </cols>
  <sheetData>
    <row r="1" spans="1:3" ht="44.5" customHeight="1" thickBot="1">
      <c r="A1" s="14" t="s">
        <v>0</v>
      </c>
      <c r="B1" s="22" t="s">
        <v>1</v>
      </c>
      <c r="C1" s="28" t="s">
        <v>2</v>
      </c>
    </row>
    <row r="2" spans="1:3" ht="26.5" customHeight="1" thickBot="1">
      <c r="A2" s="19" t="s">
        <v>3</v>
      </c>
      <c r="B2" s="23">
        <v>1852.75</v>
      </c>
      <c r="C2" s="29">
        <v>3632.4</v>
      </c>
    </row>
    <row r="3" spans="1:3" ht="14" thickBot="1">
      <c r="A3" s="20" t="s">
        <v>4</v>
      </c>
      <c r="B3" s="24">
        <v>1631.25</v>
      </c>
      <c r="C3" s="30">
        <v>2900.2</v>
      </c>
    </row>
    <row r="4" spans="1:3" ht="26.5" thickBot="1">
      <c r="A4" s="19" t="s">
        <v>5</v>
      </c>
      <c r="B4" s="23">
        <v>3052</v>
      </c>
      <c r="C4" s="29">
        <v>4066.4</v>
      </c>
    </row>
    <row r="5" spans="1:3" ht="14" thickBot="1">
      <c r="A5" s="5" t="s">
        <v>6</v>
      </c>
      <c r="B5" s="25">
        <v>3502.5</v>
      </c>
      <c r="C5" s="30">
        <v>5361.4</v>
      </c>
    </row>
    <row r="6" spans="1:3" ht="14" thickBot="1">
      <c r="A6" s="4" t="s">
        <v>7</v>
      </c>
      <c r="B6" s="26">
        <v>1515</v>
      </c>
      <c r="C6" s="29">
        <v>3663.2</v>
      </c>
    </row>
    <row r="7" spans="1:3" ht="14.15" customHeight="1" thickBot="1">
      <c r="A7" s="5" t="s">
        <v>8</v>
      </c>
      <c r="B7" s="25">
        <v>1982</v>
      </c>
      <c r="C7" s="30">
        <v>4402.3999999999996</v>
      </c>
    </row>
    <row r="8" spans="1:3" ht="14" thickBot="1">
      <c r="A8" s="4" t="s">
        <v>9</v>
      </c>
      <c r="B8" s="26">
        <v>1619</v>
      </c>
      <c r="C8" s="29">
        <v>3747.2</v>
      </c>
    </row>
    <row r="9" spans="1:3" ht="14" thickBot="1">
      <c r="A9" s="5" t="s">
        <v>10</v>
      </c>
      <c r="B9" s="25">
        <v>2342</v>
      </c>
      <c r="C9" s="30">
        <v>4871.3999999999996</v>
      </c>
    </row>
    <row r="10" spans="1:3" ht="14" thickBot="1">
      <c r="A10" s="4" t="s">
        <v>11</v>
      </c>
      <c r="B10" s="26">
        <v>1515</v>
      </c>
      <c r="C10" s="29">
        <v>3663.2</v>
      </c>
    </row>
    <row r="11" spans="1:3" ht="14" thickBot="1">
      <c r="A11" s="5" t="s">
        <v>12</v>
      </c>
      <c r="B11" s="25">
        <v>1515</v>
      </c>
      <c r="C11" s="30">
        <v>3663.2</v>
      </c>
    </row>
    <row r="12" spans="1:3" ht="14" thickBot="1">
      <c r="A12" s="4" t="s">
        <v>13</v>
      </c>
      <c r="B12" s="26">
        <v>1619</v>
      </c>
      <c r="C12" s="29">
        <v>3747.2</v>
      </c>
    </row>
    <row r="13" spans="1:3" ht="14" thickBot="1">
      <c r="A13" s="5" t="s">
        <v>14</v>
      </c>
      <c r="B13" s="25">
        <v>2474</v>
      </c>
      <c r="C13" s="30">
        <v>5652.03</v>
      </c>
    </row>
    <row r="14" spans="1:3" ht="14" thickBot="1">
      <c r="A14" s="4" t="s">
        <v>15</v>
      </c>
      <c r="B14" s="26">
        <v>1619</v>
      </c>
      <c r="C14" s="29">
        <v>3859.62</v>
      </c>
    </row>
    <row r="15" spans="1:3" ht="14" thickBot="1">
      <c r="A15" s="5" t="s">
        <v>16</v>
      </c>
      <c r="B15" s="25">
        <v>2863</v>
      </c>
      <c r="C15" s="30">
        <v>6149.52</v>
      </c>
    </row>
    <row r="16" spans="1:3" ht="14" thickBot="1">
      <c r="A16" s="4" t="s">
        <v>17</v>
      </c>
      <c r="B16" s="26">
        <v>1522.75</v>
      </c>
      <c r="C16" s="29">
        <v>3765.89</v>
      </c>
    </row>
    <row r="17" spans="1:7" ht="14" thickBot="1">
      <c r="A17" s="5" t="s">
        <v>18</v>
      </c>
      <c r="B17" s="25">
        <v>1978.75</v>
      </c>
      <c r="C17" s="30">
        <v>4238.87</v>
      </c>
    </row>
    <row r="18" spans="1:7" ht="14" thickBot="1">
      <c r="A18" s="4" t="s">
        <v>19</v>
      </c>
      <c r="B18" s="26">
        <v>1587.75</v>
      </c>
      <c r="C18" s="29">
        <v>3809.15</v>
      </c>
    </row>
    <row r="19" spans="1:7" ht="14" thickBot="1">
      <c r="A19" s="5" t="s">
        <v>20</v>
      </c>
      <c r="B19" s="25">
        <v>2539.75</v>
      </c>
      <c r="C19" s="30">
        <v>5478.99</v>
      </c>
    </row>
    <row r="20" spans="1:7" ht="14" thickBot="1">
      <c r="A20" s="4" t="s">
        <v>21</v>
      </c>
      <c r="B20" s="26">
        <v>1522.75</v>
      </c>
      <c r="C20" s="29">
        <v>3878.87</v>
      </c>
    </row>
    <row r="21" spans="1:7" ht="14" thickBot="1">
      <c r="A21" s="5" t="s">
        <v>22</v>
      </c>
      <c r="B21" s="25">
        <v>1978.75</v>
      </c>
      <c r="C21" s="30">
        <v>4366.0200000000004</v>
      </c>
    </row>
    <row r="22" spans="1:7" ht="14" thickBot="1">
      <c r="A22" s="4" t="s">
        <v>23</v>
      </c>
      <c r="B22" s="26">
        <v>1522.75</v>
      </c>
      <c r="C22" s="29">
        <v>3878.87</v>
      </c>
    </row>
    <row r="23" spans="1:7" ht="14" thickBot="1">
      <c r="A23" s="5" t="s">
        <v>24</v>
      </c>
      <c r="B23" s="25">
        <v>2614</v>
      </c>
      <c r="C23" s="30">
        <v>5324</v>
      </c>
    </row>
    <row r="24" spans="1:7" ht="14" thickBot="1">
      <c r="A24" s="4" t="s">
        <v>25</v>
      </c>
      <c r="B24" s="26">
        <v>2544.25</v>
      </c>
      <c r="C24" s="29">
        <v>4848.7299999999996</v>
      </c>
    </row>
    <row r="25" spans="1:7" ht="14" thickBot="1">
      <c r="A25" s="5" t="s">
        <v>26</v>
      </c>
      <c r="B25" s="25">
        <v>1245.5</v>
      </c>
      <c r="C25" s="30">
        <v>2779.78</v>
      </c>
    </row>
    <row r="26" spans="1:7" ht="14" thickBot="1">
      <c r="A26" s="13" t="s">
        <v>27</v>
      </c>
      <c r="B26" s="27">
        <f>SUM(B2:B3,B5:B25)</f>
        <v>45106.5</v>
      </c>
      <c r="C26" s="69">
        <f>SUM(C2:C3,C5:C25)</f>
        <v>97682.14</v>
      </c>
      <c r="G26" s="21"/>
    </row>
    <row r="27" spans="1:7" s="3" customFormat="1" ht="26.5" thickBot="1">
      <c r="A27" s="13" t="s">
        <v>28</v>
      </c>
      <c r="B27" s="27">
        <f>SUM(B4:B25)</f>
        <v>44674.5</v>
      </c>
      <c r="C27" s="70">
        <f>SUM(C4,C5:C25)</f>
        <v>95215.94</v>
      </c>
    </row>
    <row r="28" spans="1:7" s="3" customFormat="1" ht="49.5" customHeight="1">
      <c r="A28" s="76" t="s">
        <v>29</v>
      </c>
      <c r="B28" s="76"/>
    </row>
    <row r="29" spans="1:7" ht="9.65" customHeight="1" thickBot="1"/>
    <row r="30" spans="1:7" ht="155.25" customHeight="1" thickBot="1">
      <c r="A30" s="74" t="s">
        <v>30</v>
      </c>
      <c r="B30" s="75"/>
    </row>
    <row r="31" spans="1:7" ht="8.25" customHeight="1" thickBot="1">
      <c r="A31" s="1"/>
      <c r="B31" s="1"/>
    </row>
    <row r="32" spans="1:7" ht="26.5" customHeight="1" thickBot="1">
      <c r="A32" s="11" t="s">
        <v>31</v>
      </c>
      <c r="B32" s="12" t="s">
        <v>32</v>
      </c>
      <c r="D32" s="31" t="s">
        <v>33</v>
      </c>
      <c r="E32" s="32" t="s">
        <v>34</v>
      </c>
      <c r="F32" s="64" t="s">
        <v>35</v>
      </c>
      <c r="G32" s="32" t="s">
        <v>36</v>
      </c>
    </row>
    <row r="33" spans="1:7" ht="46">
      <c r="A33" s="6" t="s">
        <v>37</v>
      </c>
      <c r="B33" s="7">
        <v>3000</v>
      </c>
      <c r="D33" s="60" t="s">
        <v>38</v>
      </c>
      <c r="E33" s="34">
        <v>3000</v>
      </c>
      <c r="F33" s="73">
        <v>15000</v>
      </c>
      <c r="G33" s="36" t="s">
        <v>39</v>
      </c>
    </row>
    <row r="34" spans="1:7" ht="34.5">
      <c r="A34" s="8" t="s">
        <v>40</v>
      </c>
      <c r="B34" s="9">
        <v>5000</v>
      </c>
      <c r="D34" s="33" t="s">
        <v>41</v>
      </c>
      <c r="E34" s="34">
        <v>5000</v>
      </c>
      <c r="F34" s="35">
        <v>7500</v>
      </c>
      <c r="G34" s="37" t="s">
        <v>42</v>
      </c>
    </row>
    <row r="35" spans="1:7" ht="34.5">
      <c r="A35" s="10" t="s">
        <v>43</v>
      </c>
      <c r="B35" s="9">
        <v>3000</v>
      </c>
      <c r="D35" s="33" t="s">
        <v>44</v>
      </c>
      <c r="E35" s="34">
        <v>3000</v>
      </c>
      <c r="F35" s="35">
        <v>5000</v>
      </c>
      <c r="G35" s="37" t="s">
        <v>45</v>
      </c>
    </row>
    <row r="36" spans="1:7" ht="37.5">
      <c r="A36" s="10" t="s">
        <v>46</v>
      </c>
      <c r="B36" s="9">
        <v>200</v>
      </c>
      <c r="D36" s="71" t="s">
        <v>47</v>
      </c>
      <c r="E36" s="38" t="s">
        <v>48</v>
      </c>
      <c r="F36" s="39" t="s">
        <v>49</v>
      </c>
      <c r="G36" s="40" t="s">
        <v>50</v>
      </c>
    </row>
    <row r="37" spans="1:7" ht="37.5">
      <c r="A37" s="10" t="s">
        <v>51</v>
      </c>
      <c r="B37" s="9">
        <v>150</v>
      </c>
      <c r="D37" s="33" t="s">
        <v>52</v>
      </c>
      <c r="E37" s="34">
        <v>200</v>
      </c>
      <c r="F37" s="35">
        <v>450</v>
      </c>
      <c r="G37" s="37" t="s">
        <v>53</v>
      </c>
    </row>
    <row r="38" spans="1:7" ht="37.5">
      <c r="A38" s="10" t="s">
        <v>54</v>
      </c>
      <c r="B38" s="9">
        <v>325</v>
      </c>
      <c r="D38" s="33" t="s">
        <v>55</v>
      </c>
      <c r="E38" s="34">
        <v>150</v>
      </c>
      <c r="F38" s="35">
        <v>300</v>
      </c>
      <c r="G38" s="37" t="s">
        <v>53</v>
      </c>
    </row>
    <row r="39" spans="1:7" ht="23">
      <c r="A39" s="10" t="s">
        <v>56</v>
      </c>
      <c r="B39" s="16">
        <v>700</v>
      </c>
      <c r="D39" s="67" t="s">
        <v>57</v>
      </c>
      <c r="E39" s="72">
        <v>325</v>
      </c>
      <c r="F39" s="46">
        <v>500</v>
      </c>
      <c r="G39" s="47" t="s">
        <v>58</v>
      </c>
    </row>
    <row r="40" spans="1:7" ht="25.5">
      <c r="A40" s="8" t="s">
        <v>59</v>
      </c>
      <c r="B40" s="16">
        <v>250</v>
      </c>
      <c r="D40" s="33" t="s">
        <v>60</v>
      </c>
      <c r="E40" s="34">
        <v>700</v>
      </c>
      <c r="F40" s="35">
        <v>800</v>
      </c>
      <c r="G40" s="37" t="s">
        <v>58</v>
      </c>
    </row>
    <row r="41" spans="1:7" ht="25.5">
      <c r="A41" s="8" t="s">
        <v>61</v>
      </c>
      <c r="B41" s="16">
        <v>800</v>
      </c>
      <c r="D41" s="33" t="s">
        <v>62</v>
      </c>
      <c r="E41" s="34">
        <v>250</v>
      </c>
      <c r="F41" s="35">
        <v>350</v>
      </c>
      <c r="G41" s="37" t="s">
        <v>63</v>
      </c>
    </row>
    <row r="42" spans="1:7" ht="63">
      <c r="A42" s="8" t="s">
        <v>64</v>
      </c>
      <c r="B42" s="16">
        <v>527</v>
      </c>
      <c r="D42" s="41" t="s">
        <v>65</v>
      </c>
      <c r="E42" s="42">
        <v>800</v>
      </c>
      <c r="F42" s="43">
        <v>1575</v>
      </c>
      <c r="G42" s="44" t="s">
        <v>66</v>
      </c>
    </row>
    <row r="43" spans="1:7" ht="250.5">
      <c r="A43" s="18" t="s">
        <v>67</v>
      </c>
      <c r="B43" s="17" t="s">
        <v>68</v>
      </c>
      <c r="D43" s="33" t="s">
        <v>69</v>
      </c>
      <c r="E43" s="34">
        <v>527</v>
      </c>
      <c r="F43" s="35">
        <v>1437.75</v>
      </c>
      <c r="G43" s="37" t="s">
        <v>70</v>
      </c>
    </row>
    <row r="44" spans="1:7" ht="23">
      <c r="A44" s="15"/>
      <c r="B44" s="16"/>
      <c r="D44" s="59" t="s">
        <v>71</v>
      </c>
      <c r="E44" s="45" t="s">
        <v>48</v>
      </c>
      <c r="F44" s="46">
        <v>250</v>
      </c>
      <c r="G44" s="47" t="s">
        <v>58</v>
      </c>
    </row>
    <row r="45" spans="1:7" ht="26">
      <c r="A45" s="15"/>
      <c r="B45" s="16"/>
      <c r="D45" s="59" t="s">
        <v>72</v>
      </c>
      <c r="E45" s="48" t="s">
        <v>48</v>
      </c>
      <c r="F45" s="49" t="s">
        <v>73</v>
      </c>
      <c r="G45" s="44" t="s">
        <v>74</v>
      </c>
    </row>
    <row r="46" spans="1:7" ht="23">
      <c r="D46" s="59" t="s">
        <v>75</v>
      </c>
      <c r="E46" s="48" t="s">
        <v>48</v>
      </c>
      <c r="F46" s="43">
        <v>750</v>
      </c>
      <c r="G46" s="44" t="s">
        <v>76</v>
      </c>
    </row>
    <row r="47" spans="1:7" ht="46">
      <c r="D47" s="59" t="s">
        <v>77</v>
      </c>
      <c r="E47" s="48" t="s">
        <v>48</v>
      </c>
      <c r="F47" s="43">
        <v>1200</v>
      </c>
      <c r="G47" s="36" t="s">
        <v>78</v>
      </c>
    </row>
    <row r="48" spans="1:7" ht="34.5">
      <c r="D48" s="59" t="s">
        <v>79</v>
      </c>
      <c r="E48" s="48" t="s">
        <v>48</v>
      </c>
      <c r="F48" s="43">
        <v>275</v>
      </c>
      <c r="G48" s="44" t="s">
        <v>80</v>
      </c>
    </row>
    <row r="49" spans="2:7" ht="34.5">
      <c r="D49" s="59" t="s">
        <v>81</v>
      </c>
      <c r="E49" s="48" t="s">
        <v>48</v>
      </c>
      <c r="F49" s="43">
        <v>2360</v>
      </c>
      <c r="G49" s="44" t="s">
        <v>82</v>
      </c>
    </row>
    <row r="50" spans="2:7" ht="23">
      <c r="D50" s="59" t="s">
        <v>83</v>
      </c>
      <c r="E50" s="48" t="s">
        <v>48</v>
      </c>
      <c r="F50" s="43">
        <v>1250</v>
      </c>
      <c r="G50" s="44" t="s">
        <v>84</v>
      </c>
    </row>
    <row r="51" spans="2:7" ht="23">
      <c r="D51" s="67" t="s">
        <v>85</v>
      </c>
      <c r="E51" s="45" t="s">
        <v>48</v>
      </c>
      <c r="F51" s="46">
        <v>750</v>
      </c>
      <c r="G51" s="47" t="s">
        <v>86</v>
      </c>
    </row>
    <row r="52" spans="2:7">
      <c r="D52" s="41" t="s">
        <v>87</v>
      </c>
      <c r="E52" s="48" t="s">
        <v>48</v>
      </c>
      <c r="F52" s="43">
        <v>450</v>
      </c>
      <c r="G52" s="44" t="s">
        <v>53</v>
      </c>
    </row>
    <row r="53" spans="2:7">
      <c r="D53" s="41" t="s">
        <v>88</v>
      </c>
      <c r="E53" s="48" t="s">
        <v>48</v>
      </c>
      <c r="F53" s="43">
        <v>200</v>
      </c>
      <c r="G53" s="44" t="s">
        <v>89</v>
      </c>
    </row>
    <row r="54" spans="2:7">
      <c r="D54" s="41" t="s">
        <v>90</v>
      </c>
      <c r="E54" s="48" t="s">
        <v>48</v>
      </c>
      <c r="F54" s="43">
        <v>500</v>
      </c>
      <c r="G54" s="44" t="s">
        <v>53</v>
      </c>
    </row>
    <row r="55" spans="2:7" ht="23">
      <c r="D55" s="58" t="s">
        <v>91</v>
      </c>
      <c r="E55" s="42">
        <v>1107</v>
      </c>
      <c r="F55" s="43">
        <v>3024</v>
      </c>
      <c r="G55" s="44" t="s">
        <v>66</v>
      </c>
    </row>
    <row r="56" spans="2:7" ht="23">
      <c r="D56" s="58" t="s">
        <v>92</v>
      </c>
      <c r="E56" s="42">
        <v>859</v>
      </c>
      <c r="F56" s="43">
        <v>2366</v>
      </c>
      <c r="G56" s="44" t="s">
        <v>66</v>
      </c>
    </row>
    <row r="57" spans="2:7" ht="23">
      <c r="D57" s="58" t="s">
        <v>93</v>
      </c>
      <c r="E57" s="42">
        <v>150</v>
      </c>
      <c r="F57" s="43">
        <v>250</v>
      </c>
      <c r="G57" s="44" t="s">
        <v>94</v>
      </c>
    </row>
    <row r="58" spans="2:7">
      <c r="D58"/>
      <c r="E58"/>
      <c r="F58" s="50"/>
      <c r="G58"/>
    </row>
    <row r="59" spans="2:7" ht="38.25" customHeight="1">
      <c r="D59" s="65" t="s">
        <v>95</v>
      </c>
      <c r="E59" s="51" t="s">
        <v>34</v>
      </c>
      <c r="F59" s="52" t="s">
        <v>96</v>
      </c>
      <c r="G59" s="51" t="s">
        <v>36</v>
      </c>
    </row>
    <row r="60" spans="2:7" ht="34.5">
      <c r="D60" s="61" t="s">
        <v>97</v>
      </c>
      <c r="E60" s="48" t="s">
        <v>48</v>
      </c>
      <c r="F60" s="53">
        <v>1800</v>
      </c>
      <c r="G60" s="44" t="s">
        <v>98</v>
      </c>
    </row>
    <row r="61" spans="2:7" ht="34.5">
      <c r="B61" s="68" t="s">
        <v>99</v>
      </c>
      <c r="D61" s="62" t="s">
        <v>100</v>
      </c>
      <c r="E61" s="48" t="s">
        <v>48</v>
      </c>
      <c r="F61" s="53">
        <v>3500</v>
      </c>
      <c r="G61" s="44" t="s">
        <v>98</v>
      </c>
    </row>
    <row r="62" spans="2:7" ht="34.5">
      <c r="D62" s="62" t="s">
        <v>101</v>
      </c>
      <c r="E62" s="54" t="s">
        <v>48</v>
      </c>
      <c r="F62" s="53">
        <v>5000</v>
      </c>
      <c r="G62" s="44" t="s">
        <v>98</v>
      </c>
    </row>
    <row r="63" spans="2:7" ht="34.5">
      <c r="D63" s="62" t="s">
        <v>102</v>
      </c>
      <c r="E63" s="54" t="s">
        <v>48</v>
      </c>
      <c r="F63" s="53">
        <v>5500</v>
      </c>
      <c r="G63" s="55" t="s">
        <v>103</v>
      </c>
    </row>
    <row r="64" spans="2:7">
      <c r="D64" s="62" t="s">
        <v>104</v>
      </c>
      <c r="E64" s="54" t="s">
        <v>48</v>
      </c>
      <c r="F64" s="56">
        <v>1250</v>
      </c>
      <c r="G64" s="55" t="s">
        <v>105</v>
      </c>
    </row>
    <row r="65" spans="2:7" ht="34.5">
      <c r="D65" s="61" t="s">
        <v>106</v>
      </c>
      <c r="E65" s="48" t="s">
        <v>48</v>
      </c>
      <c r="F65" s="53">
        <v>2500</v>
      </c>
      <c r="G65" s="44" t="s">
        <v>98</v>
      </c>
    </row>
    <row r="66" spans="2:7" ht="23">
      <c r="D66" s="62" t="s">
        <v>107</v>
      </c>
      <c r="E66" s="48" t="s">
        <v>48</v>
      </c>
      <c r="F66" s="53">
        <v>7500</v>
      </c>
      <c r="G66" s="55" t="s">
        <v>108</v>
      </c>
    </row>
    <row r="67" spans="2:7" ht="66" customHeight="1">
      <c r="D67" s="62" t="s">
        <v>109</v>
      </c>
      <c r="E67" s="48" t="s">
        <v>48</v>
      </c>
      <c r="F67" s="53">
        <v>1500</v>
      </c>
      <c r="G67" s="44" t="s">
        <v>98</v>
      </c>
    </row>
    <row r="68" spans="2:7" ht="34.5">
      <c r="D68" s="62" t="s">
        <v>110</v>
      </c>
      <c r="E68" s="48" t="s">
        <v>48</v>
      </c>
      <c r="F68" s="53">
        <v>3000</v>
      </c>
      <c r="G68" s="44" t="s">
        <v>98</v>
      </c>
    </row>
    <row r="69" spans="2:7" ht="34.5">
      <c r="D69" s="62" t="s">
        <v>111</v>
      </c>
      <c r="E69" s="48" t="s">
        <v>48</v>
      </c>
      <c r="F69" s="53">
        <v>2500</v>
      </c>
      <c r="G69" s="44" t="s">
        <v>98</v>
      </c>
    </row>
    <row r="70" spans="2:7" ht="23">
      <c r="B70" s="66"/>
      <c r="D70" s="62" t="s">
        <v>112</v>
      </c>
      <c r="E70" s="48" t="s">
        <v>48</v>
      </c>
      <c r="F70" s="53" t="s">
        <v>113</v>
      </c>
      <c r="G70" s="55" t="s">
        <v>114</v>
      </c>
    </row>
    <row r="71" spans="2:7" ht="23">
      <c r="D71" s="62" t="s">
        <v>115</v>
      </c>
      <c r="E71" s="48" t="s">
        <v>48</v>
      </c>
      <c r="F71" s="53">
        <v>15000</v>
      </c>
      <c r="G71" s="55" t="s">
        <v>116</v>
      </c>
    </row>
    <row r="72" spans="2:7" ht="57.75" customHeight="1">
      <c r="D72" s="63" t="s">
        <v>117</v>
      </c>
      <c r="E72" s="48" t="s">
        <v>118</v>
      </c>
      <c r="F72" s="53">
        <f>SUM(F59:F71)</f>
        <v>49050</v>
      </c>
      <c r="G72" s="57" t="s">
        <v>119</v>
      </c>
    </row>
  </sheetData>
  <mergeCells count="2">
    <mergeCell ref="A30:B30"/>
    <mergeCell ref="A28:B28"/>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DB4C71C3D528D498430786C3B7CDDD8" ma:contentTypeVersion="3" ma:contentTypeDescription="Create a new document." ma:contentTypeScope="" ma:versionID="0ece7cf2e4fc93c43c7cd5d709d76c51">
  <xsd:schema xmlns:xsd="http://www.w3.org/2001/XMLSchema" xmlns:xs="http://www.w3.org/2001/XMLSchema" xmlns:p="http://schemas.microsoft.com/office/2006/metadata/properties" xmlns:ns2="dda87c33-37f9-4cf1-9743-28a23cdb549d" targetNamespace="http://schemas.microsoft.com/office/2006/metadata/properties" ma:root="true" ma:fieldsID="33f4727b93ba32cf33ce3e6d23f81fef" ns2:_="">
    <xsd:import namespace="dda87c33-37f9-4cf1-9743-28a23cdb549d"/>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da87c33-37f9-4cf1-9743-28a23cdb549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31100B6-41C8-4A17-8D99-1BC2C09EABBE}">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3BBB0CEA-6A91-4C94-9BFB-EFB47FA371D8}">
  <ds:schemaRefs>
    <ds:schemaRef ds:uri="http://schemas.microsoft.com/sharepoint/v3/contenttype/forms"/>
  </ds:schemaRefs>
</ds:datastoreItem>
</file>

<file path=customXml/itemProps3.xml><?xml version="1.0" encoding="utf-8"?>
<ds:datastoreItem xmlns:ds="http://schemas.openxmlformats.org/officeDocument/2006/customXml" ds:itemID="{C8514641-A85E-4E83-9EB2-A639FCD80C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da87c33-37f9-4cf1-9743-28a23cdb549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743b317-4758-44cb-8b65-8b43e4619766}" enabled="1" method="Standard" siteId="{fdfed7bd-9f6a-44a1-b694-6e39c468c15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 Budget Presentation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BQMC (Brian McCluskey)</dc:creator>
  <cp:keywords/>
  <dc:description/>
  <cp:lastModifiedBy>sandrine muteteri</cp:lastModifiedBy>
  <cp:revision/>
  <dcterms:created xsi:type="dcterms:W3CDTF">2023-02-07T18:42:44Z</dcterms:created>
  <dcterms:modified xsi:type="dcterms:W3CDTF">2026-04-22T05:44:17Z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0x010100ADB4C71C3D528D498430786C3B7CDDD8</vt:lpwstr>
  </property>
</Properties>
</file>